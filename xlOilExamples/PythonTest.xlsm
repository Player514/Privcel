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andre\office\xlOilExamples\"/>
    </mc:Choice>
  </mc:AlternateContent>
  <xr:revisionPtr revIDLastSave="0" documentId="13_ncr:1_{F551D476-8AD4-4269-BF6A-FC6DE08F804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1'!$B$106</definedName>
    <definedName name="Test_Array1d">'Test 1'!$B$24</definedName>
    <definedName name="Test_Array2d">'Test 1'!$B$30</definedName>
    <definedName name="Test_Cache">'Test 1'!$B$38</definedName>
    <definedName name="Test_ComBasic">'Test 1'!$B$43</definedName>
    <definedName name="Test_CustomConverter">'Test 1'!$B$50</definedName>
    <definedName name="Test_Dataframe">'Test 1'!$B$65</definedName>
    <definedName name="Test_Date">'Test 1'!$B$69</definedName>
    <definedName name="Test_DateConversion">'Test 1'!$B$84</definedName>
    <definedName name="Test_DynamicRegistration">'Test 1'!$B$90</definedName>
    <definedName name="Test_ExcelCall">'Test 1'!$B$95</definedName>
    <definedName name="Test_ExternalLoad">'Test 1'!$B$80</definedName>
    <definedName name="Test_GetFormula">'Test 1'!$B$101</definedName>
    <definedName name="Test_IteratorReturn">'Test 1'!$B$41</definedName>
    <definedName name="Test_Kwargs">'Test 1'!$B$34</definedName>
    <definedName name="Test_RoundTrip">'Test 1'!$B$20</definedName>
    <definedName name="Test_Sum">'Test 1'!$B$12</definedName>
    <definedName name="Test_Threaded">'Test 1'!$B$71</definedName>
    <definedName name="Test_WorkbooksObject">'Test 1'!$B$93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9" i="1" l="1" a="1"/>
  <c r="C149" i="1" s="1"/>
  <c r="C29" i="1"/>
  <c r="D19" i="2"/>
  <c r="C19" i="2"/>
  <c r="C20" i="2" s="1"/>
  <c r="C7" i="2"/>
  <c r="C6" i="2"/>
  <c r="C105" i="1"/>
  <c r="C98" i="1"/>
  <c r="D11" i="2"/>
  <c r="D149" i="1" a="1"/>
  <c r="B163" i="1" a="1"/>
  <c r="C109" i="1" a="1"/>
  <c r="D9" i="2"/>
  <c r="D100" i="1"/>
  <c r="D37" i="1"/>
  <c r="H104" i="1" a="1"/>
  <c r="F113" i="1" a="1"/>
  <c r="D29" i="1"/>
  <c r="D7" i="2"/>
  <c r="J7" i="1" a="1"/>
  <c r="D9" i="1"/>
  <c r="D98" i="1"/>
  <c r="A114" i="1" a="1"/>
  <c r="D20" i="2"/>
  <c r="N12" i="1" a="1"/>
  <c r="D154" i="1" a="1"/>
  <c r="D99" i="1"/>
  <c r="D6" i="2"/>
  <c r="G39" i="1" a="1"/>
  <c r="H12" i="1" a="1"/>
  <c r="G83" i="1" a="1"/>
  <c r="D5" i="1" a="1"/>
  <c r="D8" i="1"/>
  <c r="D1" i="2"/>
  <c r="D12" i="2"/>
  <c r="A113" i="1" a="1"/>
  <c r="F140" i="1" a="1"/>
  <c r="D149" i="1" l="1"/>
  <c r="B163" i="1"/>
  <c r="A113" i="1"/>
  <c r="F113" i="1"/>
  <c r="J7" i="1"/>
  <c r="N12" i="1"/>
  <c r="D154" i="1"/>
  <c r="C109" i="1"/>
  <c r="A114" i="1"/>
  <c r="F140" i="1"/>
  <c r="G83" i="1"/>
  <c r="H12" i="1"/>
  <c r="G39" i="1"/>
  <c r="H104" i="1"/>
  <c r="D5" i="1"/>
  <c r="B29" i="1"/>
  <c r="B20" i="2"/>
  <c r="B19" i="2"/>
  <c r="B12" i="2"/>
  <c r="B98" i="1"/>
  <c r="B11" i="2"/>
  <c r="C17" i="2"/>
  <c r="A150" i="1" a="1"/>
  <c r="A146" i="1" a="1"/>
  <c r="C16" i="2"/>
  <c r="C15" i="2"/>
  <c r="A150" i="1" l="1"/>
  <c r="A146" i="1"/>
  <c r="B9" i="2"/>
  <c r="D105" i="1"/>
  <c r="B7" i="2" l="1"/>
  <c r="B6" i="2"/>
  <c r="C99" i="1"/>
  <c r="C100" i="1" s="1"/>
  <c r="D90" i="1"/>
  <c r="D91" i="1"/>
  <c r="C93" i="1"/>
  <c r="D104" i="1"/>
  <c r="D14" i="1"/>
  <c r="D103" i="1"/>
  <c r="D95" i="1"/>
  <c r="D93" i="1"/>
  <c r="B3" i="2" l="1"/>
  <c r="B5" i="1" s="1"/>
  <c r="B105" i="1"/>
  <c r="C103" i="1"/>
  <c r="B103" i="1" s="1"/>
  <c r="B104" i="1"/>
  <c r="B100" i="1"/>
  <c r="B99" i="1"/>
  <c r="B95" i="1"/>
  <c r="B93" i="1"/>
  <c r="B90" i="1"/>
  <c r="C37" i="1"/>
  <c r="C45" i="1"/>
  <c r="B106" i="1" l="1"/>
  <c r="B101" i="1"/>
  <c r="B37" i="1"/>
  <c r="H85" i="1"/>
  <c r="F85" i="1"/>
  <c r="D80" i="1"/>
  <c r="D84" i="1" a="1"/>
  <c r="D86" i="1" l="1"/>
  <c r="D87" i="1"/>
  <c r="D88" i="1"/>
  <c r="D84" i="1"/>
  <c r="D85" i="1"/>
  <c r="D81" i="1"/>
  <c r="D32" i="1" a="1"/>
  <c r="B84" i="1" l="1"/>
  <c r="D32" i="1"/>
  <c r="E33" i="1"/>
  <c r="B33" i="1" s="1"/>
  <c r="E32" i="1"/>
  <c r="B32" i="1" s="1"/>
  <c r="D33" i="1"/>
  <c r="E74" i="1"/>
  <c r="F74" i="1" s="1"/>
  <c r="G73" i="1"/>
  <c r="F73" i="1"/>
  <c r="B34" i="1" l="1"/>
  <c r="E75" i="1"/>
  <c r="F75" i="1" s="1"/>
  <c r="G74" i="1"/>
  <c r="G75" i="1" l="1"/>
  <c r="E76" i="1"/>
  <c r="D45" i="1"/>
  <c r="B45" i="1" l="1"/>
  <c r="F76" i="1"/>
  <c r="F77" i="1" s="1"/>
  <c r="G76" i="1"/>
  <c r="G77" i="1" s="1"/>
  <c r="C67" i="1"/>
  <c r="E77" i="1"/>
  <c r="D68" i="1"/>
  <c r="D11" i="1"/>
  <c r="B71" i="1" l="1"/>
  <c r="B68" i="1"/>
  <c r="D67" i="1"/>
  <c r="B67" i="1" l="1"/>
  <c r="B69" i="1" s="1"/>
  <c r="C57" i="1"/>
  <c r="C56" i="1"/>
  <c r="C55" i="1"/>
  <c r="C52" i="1"/>
  <c r="C49" i="1"/>
  <c r="C27" i="1"/>
  <c r="C28" i="1" s="1"/>
  <c r="C22" i="1" a="1"/>
  <c r="C22" i="1" s="1"/>
  <c r="C18" i="1"/>
  <c r="C17" i="1"/>
  <c r="C19" i="1" s="1"/>
  <c r="D43" i="1"/>
  <c r="D15" i="1"/>
  <c r="J55" i="1"/>
  <c r="D23" i="1"/>
  <c r="D19" i="1"/>
  <c r="D48" i="1"/>
  <c r="D28" i="1"/>
  <c r="D49" i="1"/>
  <c r="D41" i="1"/>
  <c r="D10" i="1"/>
  <c r="D17" i="1"/>
  <c r="C11" i="1"/>
  <c r="D22" i="1"/>
  <c r="G36" i="1"/>
  <c r="J52" i="1"/>
  <c r="D18" i="1"/>
  <c r="D16" i="1"/>
  <c r="D27" i="1"/>
  <c r="B43" i="1" l="1"/>
  <c r="B11" i="1"/>
  <c r="B41" i="1"/>
  <c r="B27" i="1"/>
  <c r="B10" i="1"/>
  <c r="B17" i="1"/>
  <c r="B48" i="1"/>
  <c r="B14" i="1"/>
  <c r="B15" i="1"/>
  <c r="B8" i="1"/>
  <c r="B18" i="1"/>
  <c r="B9" i="1"/>
  <c r="B16" i="1"/>
  <c r="B23" i="1"/>
  <c r="B49" i="1"/>
  <c r="B22" i="1"/>
  <c r="B19" i="1"/>
  <c r="B28" i="1"/>
  <c r="D55" i="1"/>
  <c r="D56" i="1" a="1"/>
  <c r="D63" i="1" a="1"/>
  <c r="D59" i="1" a="1"/>
  <c r="D36" i="1"/>
  <c r="D52" i="1"/>
  <c r="B50" i="1" l="1"/>
  <c r="B30" i="1"/>
  <c r="B24" i="1"/>
  <c r="B20" i="1"/>
  <c r="B12" i="1"/>
  <c r="F63" i="1"/>
  <c r="E64" i="1"/>
  <c r="F64" i="1"/>
  <c r="E63" i="1"/>
  <c r="D64" i="1"/>
  <c r="D63" i="1"/>
  <c r="F60" i="1"/>
  <c r="D61" i="1"/>
  <c r="D60" i="1"/>
  <c r="D59" i="1"/>
  <c r="F59" i="1"/>
  <c r="E60" i="1"/>
  <c r="F61" i="1"/>
  <c r="E59" i="1"/>
  <c r="E61" i="1"/>
  <c r="B52" i="1"/>
  <c r="D56" i="1"/>
  <c r="B56" i="1" s="1"/>
  <c r="D57" i="1"/>
  <c r="B57" i="1" s="1"/>
  <c r="B55" i="1"/>
  <c r="B36" i="1"/>
  <c r="B38" i="1" s="1"/>
  <c r="B63" i="1" l="1" a="1"/>
  <c r="B63" i="1" s="1"/>
  <c r="B59" i="1" a="1"/>
  <c r="B59" i="1" s="1"/>
  <c r="B65" i="1" l="1"/>
  <c r="D82" i="1"/>
  <c r="B80" i="1" l="1"/>
  <c r="B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<sst xmlns="http://schemas.openxmlformats.org/spreadsheetml/2006/main" count="110" uniqueCount="88">
  <si>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</si>
  <si>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</si>
  <si>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</si>
  <si>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</si>
  <si>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</si>
  <si>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</si>
  <si>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</si>
  <si>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</si>
  <si>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</si>
  <si>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</si>
  <si>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</si>
  <si>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</si>
  <si>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</si>
  <si>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</si>
  <si>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</si>
  <si>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</si>
  <si>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</si>
  <si>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</si>
  <si>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</si>
  <si>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</si>
  <si>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</si>
  <si>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</si>
  <si>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</si>
  <si>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</si>
  <si>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</si>
  <si>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</si>
  <si>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</si>
  <si>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</si>
  <si>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</si>
  <si>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</si>
  <si>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</si>
  <si>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</si>
  <si>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</si>
  <si>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</si>
  <si>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</si>
  <si>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</si>
  <si>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</si>
  <si>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</si>
  <si>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</si>
  <si>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</si>
  <si>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</si>
  <si>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</si>
  <si>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</si>
  <si>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</si>
  <si>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</si>
  <si>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</si>
  <si>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</si>
  <si>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</si>
  <si>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</si>
  <si>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</si>
  <si>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</si>
  <si>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</si>
  <si>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</si>
  <si>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</si>
  <si>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</si>
  <si>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</si>
  <si>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</si>
  <si>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</si>
  <si>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</si>
  <si>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</si>
  <si>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</si>
  <si>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</si>
  <si>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</si>
  <si>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</si>
  <si>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</si>
  <si>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</si>
  <si>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</si>
  <si>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</si>
  <si>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</si>
  <si>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</si>
  <si>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</si>
  <si>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</si>
  <si>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</si>
  <si>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</si>
  <si>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</si>
  <si>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</si>
  <si>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</si>
  <si>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</si>
  <si>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pyTestFastArray</t>
  </si>
  <si>
    <t>Spam</t>
  </si>
  <si>
    <t>Fail 4</t>
  </si>
  <si>
    <t xml:space="preserve"> </t>
  </si>
  <si>
    <t>Set1</t>
  </si>
  <si>
    <t>#=pysetArea1()</t>
  </si>
  <si>
    <t>#=load_pymc3()</t>
  </si>
  <si>
    <t>#=gen_data(25,5)</t>
  </si>
  <si>
    <t>normal</t>
  </si>
  <si>
    <t>Calc finished at: 2022-11-14 09:30:21.829687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</si>
</sst>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01FC0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  <xf numFmtId="0" fontId="5" fillId="0" borderId="0" xfId="0" applyFont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422bbe87.c092.4260.a19d.38d04652bfd4">
      <tp>
        <v>0</v>
        <stp/>
        <stp>{C70090E7-61B3-4AD4-B82A-9C2E30612644}</stp>
        <tr r="D1" s="2"/>
      </tp>
    </main>
    <main first="xloil.422bbe87.c092.4260.a19d.38d04652bfd4">
      <tp>
        <v>0</v>
        <stp/>
        <stp>{66D8D08A-27E4-443A-AD7E-D2D2A62057DB}</stp>
        <tr r="D20" s="2"/>
      </tp>
    </main>
    <main first="xloil.422bbe87.c092.4260.a19d.38d04652bfd4">
      <tp>
        <v>0</v>
        <stp/>
        <stp>{0C5E9EC0-C36B-4CEF-B13A-C0BB62580024}</stp>
        <tr r="D9" s="2"/>
      </tp>
      <tp>
        <v>0</v>
        <stp/>
        <stp>{EED81B46-4D34-4A29-A2EA-7E44B7873063}</stp>
        <tr r="D7" s="2"/>
      </tp>
      <tp>
        <v>0</v>
        <stp/>
        <stp>{19DE95F0-E941-4583-9EA3-2211361354CA}</stp>
        <tr r="D6" s="2"/>
      </tp>
    </main>
    <main first="xloil.e945d77e.109b.4f93.9940.d315d0378fba">
      <tp>
        <v>0</v>
        <stp/>
        <stp>Time:2.0</stp>
        <tr r="D1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1</xdr:row>
          <xdr:rowOff>137160</xdr:rowOff>
        </xdr:from>
        <xdr:to>
          <xdr:col>3</xdr:col>
          <xdr:colOff>1607820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493059</xdr:colOff>
      <xdr:row>142</xdr:row>
      <xdr:rowOff>143436</xdr:rowOff>
    </xdr:from>
    <xdr:to>
      <xdr:col>10</xdr:col>
      <xdr:colOff>359485</xdr:colOff>
      <xdr:row>157</xdr:row>
      <xdr:rowOff>143437</xdr:rowOff>
    </xdr:to>
    <xdr:pic>
      <xdr:nvPicPr>
        <xdr:cNvPr id="59" name="XLOIMG_$D$149">
          <a:extLst>
            <a:ext uri="{FF2B5EF4-FFF2-40B4-BE49-F238E27FC236}">
              <a16:creationId xmlns:a16="http://schemas.microsoft.com/office/drawing/2014/main" id="{F1A5D2B5-F0A1-93E2-D0EC-33FC22D6A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1883" y="25603201"/>
          <a:ext cx="4124661" cy="2689412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163"/>
  <sheetViews>
    <sheetView showGridLines="0" tabSelected="1" topLeftCell="A129" zoomScale="85" zoomScaleNormal="85" workbookViewId="0">
      <selection activeCell="D149" sqref="D149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4" x14ac:dyDescent="0.3">
      <c r="A1" s="5" t="s">
        <v>76</v>
      </c>
      <c r="B1" s="5"/>
      <c r="C1" s="5"/>
      <c r="D1" s="10"/>
      <c r="F1" s="19"/>
      <c r="G1" t="s">
        <v>80</v>
      </c>
      <c r="H1" t="s">
        <v>68</v>
      </c>
      <c r="I1" t="s">
        <v>68</v>
      </c>
      <c r="J1" t="s">
        <v>68</v>
      </c>
      <c r="K1" s="22" t="s">
        <v>68</v>
      </c>
    </row>
    <row r="2" spans="1:14" x14ac:dyDescent="0.3">
      <c r="A2" s="10"/>
      <c r="B2" s="10"/>
      <c r="C2" s="10"/>
      <c r="D2" s="10" t="s">
        <v>81</v>
      </c>
      <c r="F2" s="19"/>
      <c r="K2" s="23"/>
    </row>
    <row r="3" spans="1:14" x14ac:dyDescent="0.3">
      <c r="A3" s="17" t="s">
        <v>63</v>
      </c>
      <c r="B3" s="18" t="e">
        <f ca="1">AND(B8:B198)</f>
        <v>#VALUE!</v>
      </c>
      <c r="F3" s="19"/>
      <c r="K3" s="24"/>
    </row>
    <row r="4" spans="1:14" x14ac:dyDescent="0.3">
      <c r="A4" s="17" t="s">
        <v>64</v>
      </c>
      <c r="B4" s="17" t="s">
        <v>64</v>
      </c>
      <c r="G4" s="20"/>
      <c r="H4" s="20"/>
      <c r="I4" s="20"/>
      <c r="J4" s="20"/>
    </row>
    <row r="5" spans="1:14" x14ac:dyDescent="0.3">
      <c r="A5" s="17" t="s">
        <v>75</v>
      </c>
      <c r="B5" s="18" t="e">
        <f>RTD!B3</f>
        <v>#N/A</v>
      </c>
      <c r="D5" cm="1">
        <f t="array" ref="D5">pySum(1,2,3)</f>
        <v>6</v>
      </c>
      <c r="G5" t="s">
        <v>79</v>
      </c>
      <c r="H5" t="s">
        <v>79</v>
      </c>
      <c r="J5" t="s">
        <v>82</v>
      </c>
      <c r="K5" t="s">
        <v>82</v>
      </c>
      <c r="L5" t="s">
        <v>82</v>
      </c>
    </row>
    <row r="6" spans="1:14" x14ac:dyDescent="0.3">
      <c r="A6" s="17"/>
      <c r="G6" t="s">
        <v>79</v>
      </c>
    </row>
    <row r="7" spans="1:14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  <c r="J7" t="str" cm="1">
        <f t="array" ref="J7">pysetArea1()</f>
        <v xml:space="preserve">RuntimeError: COM Error 0x800a03ec: Unknown error 0x800A03EC
Traceback (most recent call last):
  File "C:\Users\andre\office\xlOilExamples\PythonTest.py", line 215, in pysetArea1
    r_h1.value = "Set1"
RuntimeError: COM Error 0x800a03ec: Unknown error 0x800A03EC
</v>
      </c>
    </row>
    <row r="8" spans="1:14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4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: Unknown type</v>
      </c>
    </row>
    <row r="10" spans="1:14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4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9" t="str">
        <f>pySumNums(1,2,3.2)</f>
        <v>Error in arg 3 'a': Cannot convert 3.2: Expected int</v>
      </c>
    </row>
    <row r="12" spans="1:14" x14ac:dyDescent="0.3">
      <c r="B12" s="21" t="b">
        <f>AND(B8:B11)</f>
        <v>1</v>
      </c>
      <c r="H12" t="str" cm="1">
        <f t="array" ref="H12">pyTestWorkbooks()</f>
        <v>PythonTest.xlsm</v>
      </c>
      <c r="N12" t="str" cm="1">
        <f t="array" ref="N12">pyset()</f>
        <v xml:space="preserve">AttributeError: '_WorksheetFunc' object has no attribute 'func'
Traceback (most recent call last):
  File "C:\Users\andre\office\xlOilExamples\PythonTest.py", line 220, in pyset
    pysetArea()
  File "C:\Users\andre\Python\Python39\lib\site-packages\xloil\register.py", line 229, in __call__
    return self.func(*args, **kwargs)
AttributeError: '_WorksheetFunc' object has no attribute 'func'
</v>
      </c>
    </row>
    <row r="14" spans="1:14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4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4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21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1">
        <v>3</v>
      </c>
      <c r="H28" s="11">
        <v>4</v>
      </c>
    </row>
    <row r="29" spans="1:10" x14ac:dyDescent="0.3">
      <c r="A29" s="2" t="s">
        <v>78</v>
      </c>
      <c r="B29" t="b">
        <f>C29=D29</f>
        <v>1</v>
      </c>
      <c r="C29">
        <f>C28</f>
        <v>10</v>
      </c>
      <c r="D29" s="6">
        <f>SUM(_xll.pyTestFastArr(G27:H28))</f>
        <v>10</v>
      </c>
      <c r="G29" s="11"/>
      <c r="H29" s="11"/>
    </row>
    <row r="30" spans="1:10" x14ac:dyDescent="0.3">
      <c r="A30" s="2"/>
      <c r="B30" s="21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pyTestKwargs(G32:H33)</f>
        <v>Foo</v>
      </c>
      <c r="E32" s="6" t="str">
        <v>dead</v>
      </c>
      <c r="G32" s="11" t="s">
        <v>17</v>
      </c>
      <c r="H32" s="11" t="s">
        <v>19</v>
      </c>
    </row>
    <row r="33" spans="1:8" x14ac:dyDescent="0.3">
      <c r="A33" s="2"/>
      <c r="B33" t="b">
        <f>E33=H33</f>
        <v>1</v>
      </c>
      <c r="D33" s="6" t="str">
        <v>Bar</v>
      </c>
      <c r="E33" s="6" t="str">
        <v>parrot</v>
      </c>
      <c r="G33" s="11" t="s">
        <v>18</v>
      </c>
      <c r="H33" s="11" t="s">
        <v>20</v>
      </c>
    </row>
    <row r="34" spans="1:8" x14ac:dyDescent="0.3">
      <c r="B34" s="21" t="b">
        <f>AND(B32:B33)</f>
        <v>1</v>
      </c>
    </row>
    <row r="35" spans="1:8" x14ac:dyDescent="0.3">
      <c r="A35" s="2"/>
    </row>
    <row r="36" spans="1:8" x14ac:dyDescent="0.3">
      <c r="A36" s="2" t="s">
        <v>25</v>
      </c>
      <c r="B36" t="b">
        <f>C36=D36</f>
        <v>1</v>
      </c>
      <c r="C36" t="s">
        <v>24</v>
      </c>
      <c r="D36" s="6" t="str">
        <f>pyTestCache(G36)</f>
        <v>Hello world</v>
      </c>
      <c r="G36" t="str">
        <f>pyTestCache()</f>
        <v>欣[PythonTest.xlsm]Test 1!R36C7CustomObj,A</v>
      </c>
    </row>
    <row r="37" spans="1:8" x14ac:dyDescent="0.3">
      <c r="A37" s="2" t="s">
        <v>60</v>
      </c>
      <c r="B37" t="b">
        <f>INDEX(_xll.xloVal(D37),1,1)=C37</f>
        <v>1</v>
      </c>
      <c r="C37" t="str">
        <f>G32</f>
        <v>Foo</v>
      </c>
      <c r="D37" s="6" t="str">
        <f>pyTestToCache(G32:H33)</f>
        <v>永[PythonTest.xlsm]Test 1!R37C4,A</v>
      </c>
    </row>
    <row r="38" spans="1:8" x14ac:dyDescent="0.3">
      <c r="B38" s="21" t="b">
        <f>AND(B36:B37)</f>
        <v>1</v>
      </c>
    </row>
    <row r="39" spans="1:8" x14ac:dyDescent="0.3">
      <c r="G39" t="str" cm="1">
        <f t="array" ref="G39">pyset()</f>
        <v xml:space="preserve">AttributeError: '_WorksheetFunc' object has no attribute 'func'
Traceback (most recent call last):
  File "C:\Users\andre\office\xlOilExamples\PythonTest.py", line 220, in pyset
    pysetArea()
  File "C:\Users\andre\Python\Python39\lib\site-packages\xloil\register.py", line 229, in __call__
    return self.func(*args, **kwargs)
AttributeError: '_WorksheetFunc' object has no attribute 'func'
</v>
      </c>
    </row>
    <row r="40" spans="1:8" ht="13.8" customHeight="1" x14ac:dyDescent="0.3"/>
    <row r="41" spans="1:8" x14ac:dyDescent="0.3">
      <c r="A41" s="2" t="s">
        <v>28</v>
      </c>
      <c r="B41" s="21" t="b">
        <f>C41=D41</f>
        <v>1</v>
      </c>
      <c r="C41">
        <v>4</v>
      </c>
      <c r="D41" s="6">
        <f>SUM(pyTestIter(4,1))</f>
        <v>4</v>
      </c>
    </row>
    <row r="43" spans="1:8" x14ac:dyDescent="0.3">
      <c r="A43" s="2" t="s">
        <v>39</v>
      </c>
      <c r="B43" s="21" t="b">
        <f>C43=D43</f>
        <v>1</v>
      </c>
      <c r="C43" t="s">
        <v>71</v>
      </c>
      <c r="D43" t="str">
        <f>pyTestCom()</f>
        <v>{90160000-000F-0000-1000-0000000FF1CE}</v>
      </c>
    </row>
    <row r="44" spans="1:8" x14ac:dyDescent="0.3">
      <c r="A44" s="2"/>
    </row>
    <row r="45" spans="1:8" x14ac:dyDescent="0.3">
      <c r="A45" s="2" t="s">
        <v>40</v>
      </c>
      <c r="B45" s="21" t="b">
        <f ca="1">C45=SUBSTITUTE(D45, "'","")</f>
        <v>0</v>
      </c>
      <c r="C45" s="4" t="str">
        <f ca="1">MID(CELL("filename"),FIND("[",CELL("filename")),100)&amp;"!"&amp;ADDRESS(ROW(H46),COLUMN(H46),4)</f>
        <v>[PythonTest.xlsm]Test 1!H46</v>
      </c>
      <c r="D45" s="9" t="str">
        <f>pyTestRange(G45:H46)</f>
        <v xml:space="preserve">ModuleNotFoundError: No module named 'comtypes'
Traceback (most recent call last):
  File "C:\Users\andre\office\xlOilExamples\PythonTest.py", line 586, in pyTestRange
    range_comtypes = r.to_com('comtypes')
ModuleNotFoundError: No module named 'comtypes'
</v>
      </c>
      <c r="E45" s="4"/>
      <c r="G45" s="11">
        <v>1</v>
      </c>
      <c r="H45" s="11">
        <v>2</v>
      </c>
    </row>
    <row r="46" spans="1:8" x14ac:dyDescent="0.3">
      <c r="A46" s="2"/>
      <c r="G46" s="11">
        <v>3</v>
      </c>
      <c r="H46" s="11">
        <v>4</v>
      </c>
    </row>
    <row r="47" spans="1:8" x14ac:dyDescent="0.3">
      <c r="A47" s="2"/>
    </row>
    <row r="48" spans="1:8" x14ac:dyDescent="0.3">
      <c r="A48" s="2" t="s">
        <v>31</v>
      </c>
      <c r="B48" t="b">
        <f>C48=D48</f>
        <v>1</v>
      </c>
      <c r="C48">
        <v>2</v>
      </c>
      <c r="D48" s="6">
        <f>pyTestCustomConv(1)</f>
        <v>2</v>
      </c>
    </row>
    <row r="49" spans="1:10" x14ac:dyDescent="0.3">
      <c r="A49" s="2"/>
      <c r="B49" t="b">
        <f>C49=D49</f>
        <v>1</v>
      </c>
      <c r="C49">
        <f>2*SUM(G49:H49)</f>
        <v>14</v>
      </c>
      <c r="D49" s="6">
        <f>SUM(pyTestCustomConv(G49:H49))</f>
        <v>14</v>
      </c>
      <c r="G49" s="11">
        <v>3</v>
      </c>
      <c r="H49" s="11">
        <v>4</v>
      </c>
    </row>
    <row r="50" spans="1:10" x14ac:dyDescent="0.3">
      <c r="B50" s="21" t="b">
        <f>AND(B48:B49)</f>
        <v>1</v>
      </c>
    </row>
    <row r="51" spans="1:10" x14ac:dyDescent="0.3">
      <c r="A51" s="2"/>
    </row>
    <row r="52" spans="1:10" x14ac:dyDescent="0.3">
      <c r="A52" s="2" t="s">
        <v>33</v>
      </c>
      <c r="B52" t="b">
        <f>C52=D52</f>
        <v>1</v>
      </c>
      <c r="C52">
        <f>H53</f>
        <v>2</v>
      </c>
      <c r="D52" s="6">
        <f>pyTestFrameFetch(J52,,"B")</f>
        <v>2</v>
      </c>
      <c r="G52" s="12" t="s">
        <v>32</v>
      </c>
      <c r="H52" s="12" t="s">
        <v>29</v>
      </c>
      <c r="I52" s="12" t="s">
        <v>30</v>
      </c>
      <c r="J52" s="13" t="str">
        <f>pyTestDFrame(G52:I53)</f>
        <v>欣[PythonTest.xlsm]Test 1!R52C10DataFrame,A</v>
      </c>
    </row>
    <row r="53" spans="1:10" x14ac:dyDescent="0.3">
      <c r="A53" s="2"/>
      <c r="G53" s="12">
        <v>1</v>
      </c>
      <c r="H53" s="12">
        <v>2</v>
      </c>
      <c r="I53" s="12">
        <v>3</v>
      </c>
    </row>
    <row r="54" spans="1:10" x14ac:dyDescent="0.3">
      <c r="A54" s="2"/>
    </row>
    <row r="55" spans="1:10" x14ac:dyDescent="0.3">
      <c r="A55" s="2" t="s">
        <v>34</v>
      </c>
      <c r="B55" t="b">
        <f>C55=D55</f>
        <v>1</v>
      </c>
      <c r="C55" t="str">
        <f>I56</f>
        <v>Foo</v>
      </c>
      <c r="D55" s="6" t="str">
        <f>pyTestFrameFetch(J55,0,"B")</f>
        <v>Foo</v>
      </c>
      <c r="G55" s="11" t="s">
        <v>35</v>
      </c>
      <c r="H55" s="11" t="s">
        <v>32</v>
      </c>
      <c r="I55" s="11" t="s">
        <v>29</v>
      </c>
      <c r="J55" s="13" t="str">
        <f>pyTestDFrameIndex(G55:I57)</f>
        <v>欣[PythonTest.xlsm]Test 1!R55C10,A</v>
      </c>
    </row>
    <row r="56" spans="1:10" x14ac:dyDescent="0.3">
      <c r="A56" s="2"/>
      <c r="B56" t="b">
        <f>C56=D56</f>
        <v>1</v>
      </c>
      <c r="C56">
        <f>H57</f>
        <v>2.1</v>
      </c>
      <c r="D56" s="6">
        <f t="array" ref="D56:D57">pyTestFrameFetch(J55,1)</f>
        <v>2.1</v>
      </c>
      <c r="G56" s="11">
        <v>0</v>
      </c>
      <c r="H56" s="11">
        <v>5.3</v>
      </c>
      <c r="I56" s="11" t="s">
        <v>17</v>
      </c>
    </row>
    <row r="57" spans="1:10" x14ac:dyDescent="0.3">
      <c r="A57" s="2"/>
      <c r="B57" t="b">
        <f>C57=D57</f>
        <v>1</v>
      </c>
      <c r="C57" t="str">
        <f>I57</f>
        <v>Bar</v>
      </c>
      <c r="D57" s="6" t="str">
        <v>Bar</v>
      </c>
      <c r="G57" s="11">
        <v>1</v>
      </c>
      <c r="H57" s="11">
        <v>2.1</v>
      </c>
      <c r="I57" s="11" t="s">
        <v>18</v>
      </c>
    </row>
    <row r="58" spans="1:10" x14ac:dyDescent="0.3">
      <c r="A58" s="2"/>
    </row>
    <row r="59" spans="1:10" x14ac:dyDescent="0.3">
      <c r="A59" s="2" t="s">
        <v>55</v>
      </c>
      <c r="B59" t="b">
        <f t="array" ref="B59">SUM((D59:F61=G55:I57)+0)=9</f>
        <v>1</v>
      </c>
      <c r="D59" s="6" t="str">
        <f t="array" ref="D59:F61">pyTestFrameFetch(J55)</f>
        <v>Time</v>
      </c>
      <c r="E59" s="6" t="str">
        <v>A</v>
      </c>
      <c r="F59" s="6" t="str">
        <v>B</v>
      </c>
    </row>
    <row r="60" spans="1:10" x14ac:dyDescent="0.3">
      <c r="D60" s="6">
        <v>0</v>
      </c>
      <c r="E60" s="6">
        <v>5.3</v>
      </c>
      <c r="F60" s="6" t="str">
        <v>Foo</v>
      </c>
    </row>
    <row r="61" spans="1:10" x14ac:dyDescent="0.3">
      <c r="D61" s="6">
        <v>1</v>
      </c>
      <c r="E61" s="6">
        <v>2.1</v>
      </c>
      <c r="F61" s="6" t="str">
        <v>Bar</v>
      </c>
    </row>
    <row r="63" spans="1:10" x14ac:dyDescent="0.3">
      <c r="B63" t="b">
        <f t="array" ref="B63">SUM((D63:F64=G55:I56)+0)=6</f>
        <v>1</v>
      </c>
      <c r="D63" s="6" t="str">
        <f t="array" ref="D63:F64">pyTestFrameWrite(J55)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B65" s="21" t="b">
        <f>AND(B52:B64)</f>
        <v>1</v>
      </c>
    </row>
    <row r="67" spans="1:7" x14ac:dyDescent="0.3">
      <c r="A67" s="2" t="s">
        <v>36</v>
      </c>
      <c r="B67" t="b">
        <f>C67=D67</f>
        <v>1</v>
      </c>
      <c r="C67" s="3">
        <f>G67+1</f>
        <v>42737</v>
      </c>
      <c r="D67" s="7">
        <f>pyTestDate(G67)</f>
        <v>42737</v>
      </c>
      <c r="E67" s="3"/>
      <c r="G67" s="14">
        <v>42736</v>
      </c>
    </row>
    <row r="68" spans="1:7" x14ac:dyDescent="0.3">
      <c r="B68" t="b">
        <f>D68=C68</f>
        <v>1</v>
      </c>
      <c r="C68" s="3">
        <v>42768</v>
      </c>
      <c r="D68" s="7">
        <f>pyTestDate(G68)</f>
        <v>42768</v>
      </c>
      <c r="E68" s="3"/>
      <c r="G68" s="15" t="s">
        <v>37</v>
      </c>
    </row>
    <row r="69" spans="1:7" x14ac:dyDescent="0.3">
      <c r="B69" s="21" t="b">
        <f>AND(B67:B68)</f>
        <v>1</v>
      </c>
    </row>
    <row r="71" spans="1:7" x14ac:dyDescent="0.3">
      <c r="A71" s="2" t="s">
        <v>47</v>
      </c>
      <c r="B71" s="21" t="b">
        <f>E77&lt;&gt;F77</f>
        <v>1</v>
      </c>
      <c r="D71" t="s">
        <v>48</v>
      </c>
      <c r="E71">
        <v>3</v>
      </c>
      <c r="F71">
        <v>1</v>
      </c>
      <c r="G71">
        <v>4</v>
      </c>
    </row>
    <row r="72" spans="1:7" x14ac:dyDescent="0.3">
      <c r="A72" t="s">
        <v>54</v>
      </c>
      <c r="D72" t="s">
        <v>49</v>
      </c>
      <c r="E72">
        <v>3</v>
      </c>
      <c r="F72">
        <v>2</v>
      </c>
      <c r="G72">
        <v>7</v>
      </c>
    </row>
    <row r="73" spans="1:7" x14ac:dyDescent="0.3">
      <c r="D73" t="s">
        <v>50</v>
      </c>
      <c r="E73">
        <v>500</v>
      </c>
      <c r="F73">
        <f>E73</f>
        <v>500</v>
      </c>
      <c r="G73">
        <f>E73</f>
        <v>500</v>
      </c>
    </row>
    <row r="74" spans="1:7" x14ac:dyDescent="0.3">
      <c r="D74" t="s">
        <v>51</v>
      </c>
      <c r="E74">
        <f>E73</f>
        <v>500</v>
      </c>
      <c r="F74">
        <f>E74</f>
        <v>500</v>
      </c>
      <c r="G74">
        <f>E74</f>
        <v>500</v>
      </c>
    </row>
    <row r="75" spans="1:7" x14ac:dyDescent="0.3">
      <c r="D75" t="s">
        <v>52</v>
      </c>
      <c r="E75">
        <f>E74</f>
        <v>500</v>
      </c>
      <c r="F75">
        <f>E75</f>
        <v>500</v>
      </c>
      <c r="G75">
        <f>E75</f>
        <v>500</v>
      </c>
    </row>
    <row r="76" spans="1:7" x14ac:dyDescent="0.3">
      <c r="D76" t="s">
        <v>53</v>
      </c>
      <c r="E76">
        <f>E75</f>
        <v>500</v>
      </c>
      <c r="F76">
        <f>E76</f>
        <v>500</v>
      </c>
      <c r="G76">
        <f>E76</f>
        <v>500</v>
      </c>
    </row>
    <row r="77" spans="1:7" x14ac:dyDescent="0.3">
      <c r="E77" s="6">
        <f>_xll.pyThreadTest(E71,E72,E73,E74,E75,E76)</f>
        <v>17656</v>
      </c>
      <c r="F77" s="6">
        <f>_xll.pyThreadTest(F71,F72,F73,F74,F75,F76)</f>
        <v>9864</v>
      </c>
      <c r="G77" s="6">
        <f>_xll.pyThreadTest(G71,G72,G73,G74,G75,G76)</f>
        <v>15840</v>
      </c>
    </row>
    <row r="80" spans="1:7" x14ac:dyDescent="0.3">
      <c r="A80" s="2" t="s">
        <v>56</v>
      </c>
      <c r="B80" s="21" t="b">
        <f>C80=D82</f>
        <v>1</v>
      </c>
      <c r="C80" t="s">
        <v>57</v>
      </c>
      <c r="D80" t="str">
        <f>pyWbPath()</f>
        <v>C:\Users\andre\office\xlOilExamples</v>
      </c>
    </row>
    <row r="81" spans="1:8" x14ac:dyDescent="0.3">
      <c r="A81" t="s">
        <v>58</v>
      </c>
      <c r="D81" t="str">
        <f>_xll.xloPyLoad(D80&amp;"\TestModule.py")</f>
        <v>&lt;module 'TestModule' from 'C:\\Users\\andre\\office\\xlOilExamples\\TestModule.py'&gt;</v>
      </c>
    </row>
    <row r="82" spans="1:8" x14ac:dyDescent="0.3">
      <c r="D82" s="6" t="str">
        <f>_xll.pyTestLoadMod()</f>
        <v>Great Success!</v>
      </c>
    </row>
    <row r="83" spans="1:8" x14ac:dyDescent="0.3">
      <c r="G83" t="str" cm="1">
        <f t="array" ref="G83">pyTestDFrame(G84:H85)</f>
        <v>欣[PythonTest.xlsm]Test 1!R83C7DataFrame,A</v>
      </c>
    </row>
    <row r="84" spans="1:8" x14ac:dyDescent="0.3">
      <c r="A84" s="2" t="s">
        <v>59</v>
      </c>
      <c r="B84" s="21" t="b">
        <f>AND(D84=F84+1, D85=G84+1, D86=H84+1,D87=F85+1,D88=G85+1)</f>
        <v>1</v>
      </c>
      <c r="D84" s="6">
        <f t="array" ref="D84:D88">pyTestDateConv(F84:H85)</f>
        <v>43001</v>
      </c>
      <c r="F84" s="11">
        <v>43000</v>
      </c>
      <c r="G84" s="11">
        <v>44000</v>
      </c>
      <c r="H84" s="11">
        <v>45000.66</v>
      </c>
    </row>
    <row r="85" spans="1:8" x14ac:dyDescent="0.3">
      <c r="D85" s="6">
        <v>44001</v>
      </c>
      <c r="F85" s="11">
        <f>G84</f>
        <v>44000</v>
      </c>
      <c r="G85" s="11">
        <v>37000</v>
      </c>
      <c r="H85" s="11">
        <f>H84</f>
        <v>45000.66</v>
      </c>
    </row>
    <row r="86" spans="1:8" x14ac:dyDescent="0.3">
      <c r="D86" s="6">
        <v>45001.66</v>
      </c>
    </row>
    <row r="87" spans="1:8" x14ac:dyDescent="0.3">
      <c r="D87" s="6">
        <v>44001</v>
      </c>
    </row>
    <row r="88" spans="1:8" x14ac:dyDescent="0.3">
      <c r="D88" s="6">
        <v>37001</v>
      </c>
    </row>
    <row r="90" spans="1:8" x14ac:dyDescent="0.3">
      <c r="A90" s="2" t="s">
        <v>61</v>
      </c>
      <c r="B90" s="21" t="e">
        <f>C90:C91=D90:D91</f>
        <v>#VALUE!</v>
      </c>
      <c r="C90">
        <v>0</v>
      </c>
      <c r="D90" s="6" t="e">
        <f>pyTestDynamic0()</f>
        <v>#VALUE!</v>
      </c>
    </row>
    <row r="91" spans="1:8" x14ac:dyDescent="0.3">
      <c r="C91">
        <v>2</v>
      </c>
      <c r="D91" s="6" t="e">
        <f>pyTestDynamic2()</f>
        <v>#VALUE!</v>
      </c>
    </row>
    <row r="93" spans="1:8" x14ac:dyDescent="0.3">
      <c r="A93" s="2" t="s">
        <v>62</v>
      </c>
      <c r="B93" s="21" t="b">
        <f>C93=D93</f>
        <v>1</v>
      </c>
      <c r="C93" t="str">
        <f>pyTestWorkbooks()</f>
        <v>PythonTest.xlsm</v>
      </c>
      <c r="D93" s="6" t="str">
        <f>pyTestWorkbooks()</f>
        <v>PythonTest.xlsm</v>
      </c>
    </row>
    <row r="95" spans="1:8" x14ac:dyDescent="0.3">
      <c r="A95" s="2" t="s">
        <v>65</v>
      </c>
      <c r="B95" s="21" t="b">
        <f>C95=D95</f>
        <v>1</v>
      </c>
      <c r="C95">
        <v>6</v>
      </c>
      <c r="D95" s="6">
        <f>pyTestExcelCall("sum",1,2,3)</f>
        <v>6</v>
      </c>
    </row>
    <row r="98" spans="1:8" x14ac:dyDescent="0.3">
      <c r="A98" s="2" t="s">
        <v>66</v>
      </c>
      <c r="B98" t="b">
        <f ca="1">C98=D98</f>
        <v>1</v>
      </c>
      <c r="C98" t="str">
        <f ca="1">"="&amp;SUBSTITUTE(CELL("address",C95)&amp;"="&amp;CELL("address",D95),"$","")</f>
        <v>=C95=D95</v>
      </c>
      <c r="D98" s="6" t="str">
        <f>pyTestExcelCall("getcell",6,Test_ExcelCall)</f>
        <v>=C95=D95</v>
      </c>
    </row>
    <row r="99" spans="1:8" x14ac:dyDescent="0.3">
      <c r="B99" t="b">
        <f ca="1">C99=D99</f>
        <v>1</v>
      </c>
      <c r="C99" t="str">
        <f ca="1">C98</f>
        <v>=C95=D95</v>
      </c>
      <c r="D99" s="6" t="str">
        <f ca="1">_xll.pyTestRangeFormula2(Test_ExcelCall)</f>
        <v>=C95=D95</v>
      </c>
    </row>
    <row r="100" spans="1:8" x14ac:dyDescent="0.3">
      <c r="B100" t="b">
        <f ca="1">C100=D100</f>
        <v>1</v>
      </c>
      <c r="C100" t="str">
        <f ca="1">C99</f>
        <v>=C95=D95</v>
      </c>
      <c r="D100" s="6" t="str">
        <f>pyTestRangeFormula(Test_ExcelCall)</f>
        <v>=C95=D95</v>
      </c>
    </row>
    <row r="101" spans="1:8" x14ac:dyDescent="0.3">
      <c r="B101" s="21" t="b">
        <f ca="1">AND(B98:B100)</f>
        <v>1</v>
      </c>
    </row>
    <row r="103" spans="1:8" x14ac:dyDescent="0.3">
      <c r="A103" s="2" t="s">
        <v>67</v>
      </c>
      <c r="B103" t="b">
        <f>C103=D103</f>
        <v>1</v>
      </c>
      <c r="C103" t="str">
        <f>C93</f>
        <v>PythonTest.xlsm</v>
      </c>
      <c r="D103" s="6" t="str">
        <f>pyTestAppRun("pyTestWorkbooks")</f>
        <v>PythonTest.xlsm</v>
      </c>
    </row>
    <row r="104" spans="1:8" x14ac:dyDescent="0.3">
      <c r="B104" t="b">
        <f>C104=D104</f>
        <v>1</v>
      </c>
      <c r="C104">
        <v>6</v>
      </c>
      <c r="D104" s="6">
        <f>pyTestAppRun("pySum",1,2,3)</f>
        <v>6</v>
      </c>
      <c r="H104" t="str" cm="1">
        <f t="array" ref="H104">pyTestWorkbooks2()</f>
        <v>&lt;class 'list'&gt;</v>
      </c>
    </row>
    <row r="105" spans="1:8" x14ac:dyDescent="0.3">
      <c r="B105" t="b">
        <f ca="1">C105=SUBSTITUTE(D105, "'","")</f>
        <v>0</v>
      </c>
      <c r="C105" t="str">
        <f ca="1">MID(CELL("filename"),FIND("[",CELL("filename")),100)&amp;"!"&amp;ADDRESS(ROW(E104),COLUMN(E104),4)</f>
        <v>[PythonTest.xlsm]Test 1!E104</v>
      </c>
      <c r="D105" s="6" t="str">
        <f>pyTestAppRun("pyTestRange", D103)</f>
        <v xml:space="preserve">ModuleNotFoundError: No module named 'comtypes'
Traceback (most recent call last):
  File "C:\Users\andre\office\xlOilExamples\PythonTest.py", line 586, in pyTestRange
    range_comtypes = r.to_com('comtypes')
ModuleNotFoundError: No module named 'comtypes'
</v>
      </c>
    </row>
    <row r="106" spans="1:8" x14ac:dyDescent="0.3">
      <c r="B106" s="21" t="b">
        <f ca="1">AND(B103:B105)</f>
        <v>0</v>
      </c>
    </row>
    <row r="109" spans="1:8" x14ac:dyDescent="0.3">
      <c r="C109" t="str" cm="1">
        <f t="array" ref="C109">gen_data_help1()</f>
        <v>x=5,y=5, min=0, max=10,header = Name,Age,Gender</v>
      </c>
    </row>
    <row r="111" spans="1:8" x14ac:dyDescent="0.3">
      <c r="H111" t="s">
        <v>85</v>
      </c>
    </row>
    <row r="113" spans="1:6" x14ac:dyDescent="0.3">
      <c r="A113" t="e" cm="1" vm="1">
        <f t="array" aca="1" ref="A113" ca="1">gen_data(5,5)</f>
        <v>#VALUE!</v>
      </c>
      <c r="F113" s="27" t="e" cm="1">
        <f t="array" ref="F113">pytry()</f>
        <v>#N/A</v>
      </c>
    </row>
    <row r="114" spans="1:6" x14ac:dyDescent="0.3">
      <c r="A114" t="str" cm="1">
        <f t="array" ref="A114:D139">gen_data(25,5)</f>
        <v>Name</v>
      </c>
      <c r="B114" t="str">
        <v>Age</v>
      </c>
      <c r="C114" t="str">
        <v>Gender</v>
      </c>
      <c r="D114" t="str">
        <v>Height</v>
      </c>
    </row>
    <row r="115" spans="1:6" x14ac:dyDescent="0.3">
      <c r="A115" t="str">
        <v>2.438574538210169</v>
      </c>
      <c r="B115" t="str">
        <v>8.09176860383795</v>
      </c>
      <c r="C115" t="str">
        <v>4.46525626492315</v>
      </c>
      <c r="D115" t="str">
        <v>8.74999654376866</v>
      </c>
    </row>
    <row r="116" spans="1:6" x14ac:dyDescent="0.3">
      <c r="A116" t="str">
        <v>5.860163586396526</v>
      </c>
      <c r="B116" t="str">
        <v>3.3813169408416455</v>
      </c>
      <c r="C116" t="str">
        <v>6.7993340320912985</v>
      </c>
      <c r="D116" t="str">
        <v>6.542970148304813</v>
      </c>
    </row>
    <row r="117" spans="1:6" x14ac:dyDescent="0.3">
      <c r="A117" t="str">
        <v>0.7821270044018969</v>
      </c>
      <c r="B117" t="str">
        <v>5.5130662297098585</v>
      </c>
      <c r="C117" t="str">
        <v>3.8921568149824926</v>
      </c>
      <c r="D117" t="str">
        <v>8.281516939341335</v>
      </c>
    </row>
    <row r="118" spans="1:6" x14ac:dyDescent="0.3">
      <c r="A118" t="str">
        <v>8.910265060255986</v>
      </c>
      <c r="B118" t="str">
        <v>0.16781224980051745</v>
      </c>
      <c r="C118" t="str">
        <v>3.9123709653165175</v>
      </c>
      <c r="D118" t="str">
        <v>8.513774949072062</v>
      </c>
    </row>
    <row r="119" spans="1:6" x14ac:dyDescent="0.3">
      <c r="A119" t="str">
        <v>6.160844532551479</v>
      </c>
      <c r="B119" t="str">
        <v>9.40401490515336</v>
      </c>
      <c r="C119" t="str">
        <v>7.29623181857675</v>
      </c>
      <c r="D119" t="str">
        <v>2.419617963682641</v>
      </c>
    </row>
    <row r="120" spans="1:6" x14ac:dyDescent="0.3">
      <c r="A120" t="str">
        <v>0.724010929445793</v>
      </c>
      <c r="B120" t="str">
        <v>5.787644398037638</v>
      </c>
      <c r="C120" t="str">
        <v>7.322892143728753</v>
      </c>
      <c r="D120" t="str">
        <v>3.905226404020541</v>
      </c>
    </row>
    <row r="121" spans="1:6" x14ac:dyDescent="0.3">
      <c r="A121" t="str">
        <v>1.930783918847696</v>
      </c>
      <c r="B121" t="str">
        <v>6.7107904034780415</v>
      </c>
      <c r="C121" t="str">
        <v>4.1934470326206785</v>
      </c>
      <c r="D121" t="str">
        <v>0.618848614951869</v>
      </c>
    </row>
    <row r="122" spans="1:6" x14ac:dyDescent="0.3">
      <c r="A122" t="str">
        <v>8.157829937418557</v>
      </c>
      <c r="B122" t="str">
        <v>4.154940309071343</v>
      </c>
      <c r="C122" t="str">
        <v>1.1292676920268319</v>
      </c>
      <c r="D122" t="str">
        <v>0.2704108368216862</v>
      </c>
    </row>
    <row r="123" spans="1:6" x14ac:dyDescent="0.3">
      <c r="A123" t="str">
        <v>1.8927568814870055</v>
      </c>
      <c r="B123" t="str">
        <v>6.057410613555282</v>
      </c>
      <c r="C123" t="str">
        <v>7.995629071069055</v>
      </c>
      <c r="D123" t="str">
        <v>5.437110830405725</v>
      </c>
    </row>
    <row r="124" spans="1:6" x14ac:dyDescent="0.3">
      <c r="A124" t="str">
        <v>2.8749595880740553</v>
      </c>
      <c r="B124" t="str">
        <v>0.45839433873364976</v>
      </c>
      <c r="C124" t="str">
        <v>0.8549121344771604</v>
      </c>
      <c r="D124" t="str">
        <v>8.796863843214812</v>
      </c>
    </row>
    <row r="125" spans="1:6" x14ac:dyDescent="0.3">
      <c r="A125" t="str">
        <v>3.5914310986234477</v>
      </c>
      <c r="B125" t="str">
        <v>0.7952413862092522</v>
      </c>
      <c r="C125" t="str">
        <v>6.5190461961242</v>
      </c>
      <c r="D125" t="str">
        <v>3.0264654681021783</v>
      </c>
    </row>
    <row r="126" spans="1:6" x14ac:dyDescent="0.3">
      <c r="A126" t="str">
        <v>8.870815824280154</v>
      </c>
      <c r="B126" t="str">
        <v>8.933733066208593</v>
      </c>
      <c r="C126" t="str">
        <v>6.434681958411007</v>
      </c>
      <c r="D126" t="str">
        <v>3.3410652596395742</v>
      </c>
    </row>
    <row r="127" spans="1:6" x14ac:dyDescent="0.3">
      <c r="A127" t="str">
        <v>5.408968829851456</v>
      </c>
      <c r="B127" t="str">
        <v>6.04492562850711</v>
      </c>
      <c r="C127" t="str">
        <v>7.144974159444012</v>
      </c>
      <c r="D127" t="str">
        <v>4.596783044094512</v>
      </c>
    </row>
    <row r="128" spans="1:6" x14ac:dyDescent="0.3">
      <c r="A128" t="str">
        <v>8.526005918512693</v>
      </c>
      <c r="B128" t="str">
        <v>7.673933785996284</v>
      </c>
      <c r="C128" t="str">
        <v>4.741588245204488</v>
      </c>
      <c r="D128" t="str">
        <v>6.630956400853658</v>
      </c>
    </row>
    <row r="129" spans="1:8" x14ac:dyDescent="0.3">
      <c r="A129" t="str">
        <v>8.475238877309007</v>
      </c>
      <c r="B129" t="str">
        <v>7.515131870409661</v>
      </c>
      <c r="C129" t="str">
        <v>8.061800214455163</v>
      </c>
      <c r="D129" t="str">
        <v>7.908339517742277</v>
      </c>
    </row>
    <row r="130" spans="1:8" x14ac:dyDescent="0.3">
      <c r="A130" t="str">
        <v>1.7383989990169224</v>
      </c>
      <c r="B130" t="str">
        <v>6.169139473914658</v>
      </c>
      <c r="C130" t="str">
        <v>3.3902047187885085</v>
      </c>
      <c r="D130" t="str">
        <v>6.867277774047907</v>
      </c>
    </row>
    <row r="131" spans="1:8" x14ac:dyDescent="0.3">
      <c r="A131" t="str">
        <v>7.0834362246878815</v>
      </c>
      <c r="B131" t="str">
        <v>0.35516063535356635</v>
      </c>
      <c r="C131" t="str">
        <v>0.874007318071035</v>
      </c>
      <c r="D131" t="str">
        <v>9.536816013096548</v>
      </c>
    </row>
    <row r="132" spans="1:8" x14ac:dyDescent="0.3">
      <c r="A132" t="str">
        <v>8.44240132612613</v>
      </c>
      <c r="B132" t="str">
        <v>0.26190101346077466</v>
      </c>
      <c r="C132" t="str">
        <v>2.3504652056344466</v>
      </c>
      <c r="D132" t="str">
        <v>4.317893907086697</v>
      </c>
    </row>
    <row r="133" spans="1:8" x14ac:dyDescent="0.3">
      <c r="A133" t="str">
        <v>8.762461249761774</v>
      </c>
      <c r="B133" t="str">
        <v>5.368860553215242</v>
      </c>
      <c r="C133" t="str">
        <v>5.004948963939012</v>
      </c>
      <c r="D133" t="str">
        <v>5.528087567461114</v>
      </c>
    </row>
    <row r="134" spans="1:8" x14ac:dyDescent="0.3">
      <c r="A134" t="str">
        <v>7.9801922418337625</v>
      </c>
      <c r="B134" t="str">
        <v>1.2291463393376734</v>
      </c>
      <c r="C134" t="str">
        <v>8.715311607330824</v>
      </c>
      <c r="D134" t="str">
        <v>4.2006217058415345</v>
      </c>
    </row>
    <row r="135" spans="1:8" x14ac:dyDescent="0.3">
      <c r="A135" t="str">
        <v>1.856203833967205</v>
      </c>
      <c r="B135" t="str">
        <v>2.773495209554709</v>
      </c>
      <c r="C135" t="str">
        <v>6.7628680447114755</v>
      </c>
      <c r="D135" t="str">
        <v>6.522809651114384</v>
      </c>
    </row>
    <row r="136" spans="1:8" x14ac:dyDescent="0.3">
      <c r="A136" t="str">
        <v>5.341730617146992</v>
      </c>
      <c r="B136" t="str">
        <v>0.67947359037833</v>
      </c>
      <c r="C136" t="str">
        <v>5.720938992100008</v>
      </c>
      <c r="D136" t="str">
        <v>8.277523966513172</v>
      </c>
    </row>
    <row r="137" spans="1:8" x14ac:dyDescent="0.3">
      <c r="A137" t="str">
        <v>4.230172657757365</v>
      </c>
      <c r="B137" t="str">
        <v>9.528467061571636</v>
      </c>
      <c r="C137" t="str">
        <v>7.690539608684634</v>
      </c>
      <c r="D137" t="str">
        <v>7.684114750575061</v>
      </c>
    </row>
    <row r="138" spans="1:8" x14ac:dyDescent="0.3">
      <c r="A138" t="str">
        <v>4.879124078443802</v>
      </c>
      <c r="B138" t="str">
        <v>0.8966317478056895</v>
      </c>
      <c r="C138" t="str">
        <v>6.60206274897594</v>
      </c>
      <c r="D138" t="str">
        <v>3.1583354499847562</v>
      </c>
    </row>
    <row r="139" spans="1:8" x14ac:dyDescent="0.3">
      <c r="A139" t="str">
        <v>7.807140683025649</v>
      </c>
      <c r="B139" t="str">
        <v>7.974434128264598</v>
      </c>
      <c r="C139" t="str">
        <v>9.229317334291638</v>
      </c>
      <c r="D139" t="str">
        <v>5.25911396781099</v>
      </c>
    </row>
    <row r="140" spans="1:8" x14ac:dyDescent="0.3">
      <c r="A140" t="s">
        <v>86</v>
      </c>
      <c r="B140" t="s">
        <v>86</v>
      </c>
      <c r="C140" t="s">
        <v>86</v>
      </c>
      <c r="D140" t="s">
        <v>86</v>
      </c>
      <c r="F140" cm="1">
        <f t="array" ref="F140:H140">sum_data(A127:C131,0)</f>
        <v>31.232048849377961</v>
      </c>
      <c r="G140">
        <v>27.758291394181278</v>
      </c>
      <c r="H140">
        <v>24.212574655963209</v>
      </c>
    </row>
    <row r="146" spans="1:4" x14ac:dyDescent="0.3">
      <c r="A146" cm="1">
        <f t="array" ref="A146:C146">sum_data(A127:C131,0)</f>
        <v>31.232048849377961</v>
      </c>
      <c r="B146">
        <v>27.758291394181278</v>
      </c>
      <c r="C146">
        <v>24.212574655963209</v>
      </c>
    </row>
    <row r="149" spans="1:4" x14ac:dyDescent="0.3">
      <c r="C149" t="e" cm="1">
        <f t="array" ref="C149">SUM</f>
        <v>#NAME?</v>
      </c>
      <c r="D149" t="str" cm="1">
        <f t="array" ref="D149:D151">pyTestPic()</f>
        <v>XLOIMG_$D$149</v>
      </c>
    </row>
    <row r="150" spans="1:4" x14ac:dyDescent="0.3">
      <c r="A150" t="str" cm="1">
        <f t="array" ref="A150:A151">priv_sum(A114:D114,A115:D139,A140:D140)</f>
        <v>Refresh to Update</v>
      </c>
      <c r="D150" t="str">
        <v>XLOIMG_$D$149</v>
      </c>
    </row>
    <row r="151" spans="1:4" x14ac:dyDescent="0.3">
      <c r="A151" t="str">
        <v>Running Request</v>
      </c>
      <c r="D151" t="str">
        <v>XLOIMG_$D$149</v>
      </c>
    </row>
    <row r="154" spans="1:4" x14ac:dyDescent="0.3">
      <c r="D154" t="str" cm="1">
        <f t="array" ref="D154">read_response()</f>
        <v>aabasda</v>
      </c>
    </row>
    <row r="155" spans="1:4" x14ac:dyDescent="0.3">
      <c r="B155" t="s">
        <v>84</v>
      </c>
    </row>
    <row r="156" spans="1:4" x14ac:dyDescent="0.3">
      <c r="B156" t="s">
        <v>83</v>
      </c>
    </row>
    <row r="163" spans="2:2" x14ac:dyDescent="0.3">
      <c r="B163" t="e" cm="1">
        <f t="array" aca="1" ref="B163" ca="1">write_to_file(A114:D114,A115:D139,A140:D140)</f>
        <v>#NAME?</v>
      </c>
    </row>
  </sheetData>
  <conditionalFormatting sqref="B8:B11 B14:B19 B21:B23 B25 B31:B33 B35:B37 B51:B56 B40:B49 B79 B70 B72:B77 B81:B83 B85:B89 B91:B92 B94 B27:B29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5:B6">
    <cfRule type="expression" dxfId="21" priority="19">
      <formula>IFERROR(NOT(OR(ISBLANK(B5),B5)),TRUE)</formula>
    </cfRule>
  </conditionalFormatting>
  <conditionalFormatting sqref="B57:B64 B66:B68">
    <cfRule type="expression" dxfId="20" priority="18">
      <formula>IFERROR(NOT(OR(ISBLANK(B57),B57)),TRUE)</formula>
    </cfRule>
  </conditionalFormatting>
  <conditionalFormatting sqref="B98:B100">
    <cfRule type="expression" dxfId="19" priority="17">
      <formula>IFERROR(NOT(OR(ISBLANK(B98),B98)),TRUE)</formula>
    </cfRule>
  </conditionalFormatting>
  <conditionalFormatting sqref="B103:B104">
    <cfRule type="expression" dxfId="18" priority="16">
      <formula>IFERROR(NOT(OR(ISBLANK(B103),B103)),TRUE)</formula>
    </cfRule>
  </conditionalFormatting>
  <conditionalFormatting sqref="B105">
    <cfRule type="expression" dxfId="17" priority="13">
      <formula>IFERROR(NOT(OR(ISBLANK(B105),B105)),TRUE)</formula>
    </cfRule>
  </conditionalFormatting>
  <conditionalFormatting sqref="B50">
    <cfRule type="expression" dxfId="16" priority="12">
      <formula>IFERROR(NOT(OR(ISBLANK(B50),B50)),TRUE)</formula>
    </cfRule>
  </conditionalFormatting>
  <conditionalFormatting sqref="B65">
    <cfRule type="expression" dxfId="15" priority="11">
      <formula>IFERROR(NOT(OR(ISBLANK(B65),B65)),TRUE)</formula>
    </cfRule>
  </conditionalFormatting>
  <conditionalFormatting sqref="B69">
    <cfRule type="expression" dxfId="14" priority="10">
      <formula>IFERROR(NOT(OR(ISBLANK(B69),B69)),TRUE)</formula>
    </cfRule>
  </conditionalFormatting>
  <conditionalFormatting sqref="B71">
    <cfRule type="expression" dxfId="13" priority="9">
      <formula>IFERROR(NOT(OR(ISBLANK(B71),B71)),TRUE)</formula>
    </cfRule>
  </conditionalFormatting>
  <conditionalFormatting sqref="B80">
    <cfRule type="expression" dxfId="12" priority="8">
      <formula>IFERROR(NOT(OR(ISBLANK(B80),B80)),TRUE)</formula>
    </cfRule>
  </conditionalFormatting>
  <conditionalFormatting sqref="B84">
    <cfRule type="expression" dxfId="11" priority="7">
      <formula>IFERROR(NOT(OR(ISBLANK(B84),B84)),TRUE)</formula>
    </cfRule>
  </conditionalFormatting>
  <conditionalFormatting sqref="B90">
    <cfRule type="expression" dxfId="10" priority="6">
      <formula>IFERROR(NOT(OR(ISBLANK(B90),B90)),TRUE)</formula>
    </cfRule>
  </conditionalFormatting>
  <conditionalFormatting sqref="B93">
    <cfRule type="expression" dxfId="9" priority="5">
      <formula>IFERROR(NOT(OR(ISBLANK(B93),B93)),TRUE)</formula>
    </cfRule>
  </conditionalFormatting>
  <conditionalFormatting sqref="B95">
    <cfRule type="expression" dxfId="8" priority="4">
      <formula>IFERROR(NOT(OR(ISBLANK(B95),B95)),TRUE)</formula>
    </cfRule>
  </conditionalFormatting>
  <conditionalFormatting sqref="B101">
    <cfRule type="expression" dxfId="7" priority="3">
      <formula>IFERROR(NOT(OR(ISBLANK(B101),B101)),TRUE)</formula>
    </cfRule>
  </conditionalFormatting>
  <conditionalFormatting sqref="B106">
    <cfRule type="expression" dxfId="6" priority="1">
      <formula>IFERROR(NOT(OR(ISBLANK(B106),B106)),TRUE)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ysetArea">
                <anchor moveWithCells="1" sizeWithCells="1">
                  <from>
                    <xdr:col>3</xdr:col>
                    <xdr:colOff>220980</xdr:colOff>
                    <xdr:row>1</xdr:row>
                    <xdr:rowOff>137160</xdr:rowOff>
                  </from>
                  <to>
                    <xdr:col>3</xdr:col>
                    <xdr:colOff>1607820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87</v>
      </c>
      <c r="C1" s="4" t="s">
        <v>74</v>
      </c>
      <c r="D1" s="26" t="e">
        <f>pyTestAsyncGen(2)</f>
        <v>#N/A</v>
      </c>
    </row>
    <row r="3" spans="1:9" x14ac:dyDescent="0.3">
      <c r="A3" s="17" t="s">
        <v>75</v>
      </c>
      <c r="B3" t="e">
        <f>AND(B6:B22)</f>
        <v>#N/A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73</v>
      </c>
      <c r="B6" t="e">
        <f>C6=SUBSTITUTE(D6, "'","")</f>
        <v>#N/A</v>
      </c>
      <c r="C6" s="4" t="str">
        <f>"[PythonTest.xlsm]RTD!R"&amp;ROW(D6)&amp;"C"&amp;COLUMN(D6)</f>
        <v>[PythonTest.xlsm]RTD!R6C4</v>
      </c>
      <c r="D6" s="8" t="e">
        <f>pyTestCaller()</f>
        <v>#N/A</v>
      </c>
    </row>
    <row r="7" spans="1:9" x14ac:dyDescent="0.3">
      <c r="B7" t="e">
        <f>C7=SUBSTITUTE(D7, "'","")</f>
        <v>#N/A</v>
      </c>
      <c r="C7" s="4" t="str">
        <f>"[PythonTest.xlsm]RTD!R"&amp;ROW(D7)&amp;"C"&amp;COLUMN(D7)</f>
        <v>[PythonTest.xlsm]RTD!R7C4</v>
      </c>
      <c r="D7" s="8" t="e">
        <f>pyTestCaller()</f>
        <v>#N/A</v>
      </c>
    </row>
    <row r="9" spans="1:9" x14ac:dyDescent="0.3">
      <c r="A9" s="2" t="s">
        <v>72</v>
      </c>
      <c r="B9" t="e">
        <f>C9=D9</f>
        <v>#N/A</v>
      </c>
      <c r="C9">
        <v>6</v>
      </c>
      <c r="D9" s="8" t="e">
        <f>pyTestExcelCallAsync(1,2,3)</f>
        <v>#N/A</v>
      </c>
    </row>
    <row r="11" spans="1:9" x14ac:dyDescent="0.3">
      <c r="A11" s="2" t="s">
        <v>69</v>
      </c>
      <c r="B11" t="e">
        <f>C11=D11</f>
        <v>#VALUE!</v>
      </c>
      <c r="C11">
        <v>6</v>
      </c>
      <c r="D11" s="8" t="e">
        <f>pyRtdArray(G11:I11)</f>
        <v>#VALUE!</v>
      </c>
      <c r="G11" s="25">
        <v>1</v>
      </c>
      <c r="H11" s="25">
        <v>2</v>
      </c>
      <c r="I11" s="25">
        <v>3</v>
      </c>
    </row>
    <row r="12" spans="1:9" x14ac:dyDescent="0.3">
      <c r="A12" s="2" t="s">
        <v>70</v>
      </c>
      <c r="B12" t="b">
        <f>NOT(ISNA(D12))</f>
        <v>1</v>
      </c>
      <c r="D12" s="8">
        <f>pyTestRtdManual(2)</f>
        <v>44879.396085922941</v>
      </c>
    </row>
    <row r="15" spans="1:9" x14ac:dyDescent="0.3">
      <c r="A15" s="2" t="s">
        <v>44</v>
      </c>
      <c r="C15" s="10" t="str">
        <f>_xll.pyGetUrl(D15)</f>
        <v>You need to install aiohttp</v>
      </c>
      <c r="D15" t="s">
        <v>42</v>
      </c>
    </row>
    <row r="16" spans="1:9" x14ac:dyDescent="0.3">
      <c r="C16" s="10" t="str">
        <f>_xll.pyGetUrl(D16)</f>
        <v>You need to install aiohttp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e">
        <f>C20=D20</f>
        <v>#N/A</v>
      </c>
      <c r="C20" t="str">
        <f>C19</f>
        <v>foo</v>
      </c>
      <c r="D20" s="8" t="e">
        <f>pyTestAsyncRtd(G19,1)</f>
        <v>#N/A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77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andre</cp:lastModifiedBy>
  <dcterms:created xsi:type="dcterms:W3CDTF">2015-06-05T18:17:20Z</dcterms:created>
  <dcterms:modified xsi:type="dcterms:W3CDTF">2022-11-14T08:30:22Z</dcterms:modified>
</cp:coreProperties>
</file>